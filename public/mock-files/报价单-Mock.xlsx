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86465b812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明细表" sheetId="1" r:id="R3193d45d21944e12"/>
    <x:sheet xmlns:r="http://schemas.openxmlformats.org/officeDocument/2006/relationships" name="汇总表" sheetId="2" r:id="R00cae17c35ef474c"/>
    <x:sheet xmlns:r="http://schemas.openxmlformats.org/officeDocument/2006/relationships" name="费用汇总表" sheetId="3" r:id="R8a3b9f9fb13141d0"/>
    <x:sheet xmlns:r="http://schemas.openxmlformats.org/officeDocument/2006/relationships" name="单价分析表" sheetId="4" r:id="R2a4194b6571f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405047"/>
      <x:name val="Carlito"/>
    </x:font>
    <x:font>
      <x:b/>
      <x:sz val="11"/>
      <x:color rgb="FF143C2C"/>
      <x:name val="Carlito"/>
    </x:font>
    <x:font>
      <x:b/>
      <x:sz val="11"/>
      <x:color rgb="FF075E36"/>
      <x:name val="Carlito"/>
    </x:font>
    <x:font>
      <x:b/>
      <x:sz val="11"/>
      <x:color rgb="FF405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7A48"/>
      </x:patternFill>
    </x:fill>
    <x:fill>
      <x:patternFill patternType="solid">
        <x:fgColor rgb="FFF1F7F4"/>
      </x:patternFill>
    </x:fill>
    <x:fill>
      <x:patternFill patternType="solid">
        <x:fgColor rgb="FFE4F3EC"/>
      </x:patternFill>
    </x:fill>
    <x:fill>
      <x:patternFill patternType="solid">
        <x:fgColor rgb="FFE9F8F0"/>
      </x:patternFill>
    </x:fill>
    <x:fill>
      <x:patternFill patternType="solid">
        <x:fgColor rgb="FFD9EFE4"/>
      </x:patternFill>
    </x:fill>
    <x:fill>
      <x:patternFill patternType="solid">
        <x:fgColor rgb="FFF5F8F7"/>
      </x:patternFill>
    </x:fill>
  </x:fills>
  <x:borders count="6">
    <x:border/>
    <x:border>
      <x:left style="thin">
        <x:color rgb="FFB8CFC4"/>
      </x:left>
      <x:right style="thin">
        <x:color rgb="FFB8CFC4"/>
      </x:right>
      <x:top style="thin">
        <x:color rgb="FFB8CFC4"/>
      </x:top>
      <x:bottom style="thin">
        <x:color rgb="FFB8CFC4"/>
      </x:bottom>
    </x:border>
    <x:border>
      <x:left style="thin">
        <x:color rgb="FFD8E1DD"/>
      </x:left>
      <x:right style="thin">
        <x:color rgb="FFD8E1DD"/>
      </x:right>
      <x:top style="thin">
        <x:color rgb="FFD8E1DD"/>
      </x:top>
      <x:bottom style="thin">
        <x:color rgb="FFD8E1DD"/>
      </x:bottom>
    </x:border>
    <x:border>
      <x:left style="thin">
        <x:color rgb="FF37A66C"/>
      </x:left>
      <x:right style="thin">
        <x:color rgb="FF37A66C"/>
      </x:right>
      <x:top style="thin">
        <x:color rgb="FF37A66C"/>
      </x:top>
      <x:bottom style="thin">
        <x:color rgb="FF37A66C"/>
      </x:bottom>
    </x:border>
    <x:border>
      <x:left style="thin">
        <x:color rgb="FF9FC7B4"/>
      </x:left>
      <x:right style="thin">
        <x:color rgb="FF9FC7B4"/>
      </x:right>
      <x:top style="thin">
        <x:color rgb="FF9FC7B4"/>
      </x:top>
      <x:bottom style="thin">
        <x:color rgb="FF9FC7B4"/>
      </x:bottom>
    </x:border>
    <x:border>
      <x:left style="thin">
        <x:color rgb="FFC8D9D1"/>
      </x:left>
      <x:right style="thin">
        <x:color rgb="FFC8D9D1"/>
      </x:right>
      <x:top style="thin">
        <x:color rgb="FFC8D9D1"/>
      </x:top>
      <x:bottom style="thin">
        <x:color rgb="FFC8D9D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5" borderId="2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4" xfId="0" applyNumberFormat="1" applyFont="1" applyFill="1" applyBorder="1"/>
    <x:xf numFmtId="20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horizontal="right"/>
    </x:xf>
    <x:xf numFmtId="200" fontId="4" fillId="6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0" fontId="0" fillId="4" borderId="5" xfId="0" applyNumberFormat="1" applyFont="1" applyFill="1" applyBorder="1"/>
    <x:xf numFmtId="0" fontId="3" fillId="4" borderId="5" xfId="0" applyNumberFormat="1" applyFont="1" applyFill="1" applyBorder="1"/>
    <x:xf numFmtId="0" fontId="0" fillId="7" borderId="5" xfId="0" applyNumberFormat="1" applyFont="1" applyFill="1" applyBorder="1"/>
    <x:xf numFmtId="0" fontId="5" fillId="7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cc42df2dc4aea" /><Relationship Type="http://schemas.openxmlformats.org/officeDocument/2006/relationships/theme" Target="/xl/theme/theme1.xml" Id="Rcd0f64c250854946" /><Relationship Type="http://schemas.openxmlformats.org/officeDocument/2006/relationships/sharedStrings" Target="/xl/sharedStrings.xml" Id="Rf59927c5c20d4e1f" /><Relationship Type="http://schemas.openxmlformats.org/officeDocument/2006/relationships/worksheet" Target="/xl/worksheets/sheet1.xml" Id="R3193d45d21944e12" /><Relationship Type="http://schemas.openxmlformats.org/officeDocument/2006/relationships/worksheet" Target="/xl/worksheets/sheet2.xml" Id="R00cae17c35ef474c" /><Relationship Type="http://schemas.openxmlformats.org/officeDocument/2006/relationships/worksheet" Target="/xl/worksheets/sheet3.xml" Id="R8a3b9f9fb13141d0" /><Relationship Type="http://schemas.openxmlformats.org/officeDocument/2006/relationships/worksheet" Target="/xl/worksheets/sheet4.xml" Id="R2a4194b6571f46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9" hidden="0" customWidth="1"/>
    <x:col min="5" max="5" width="9" hidden="0" customWidth="1"/>
    <x:col min="6" max="6" width="17" hidden="0" customWidth="1"/>
    <x:col min="7" max="7" width="18" hidden="0" customWidth="1"/>
    <x:col min="8" max="8" width="18" hidden="0" customWidth="1"/>
    <x:col min="9" max="9" width="17" hidden="0" customWidth="1"/>
    <x:col min="10" max="10" width="18" hidden="0" customWidth="1"/>
  </x:cols>
  <x:sheetData>
    <x:row r="1" ht="27" customHeight="1">
      <x:c r="A1" s="4" t="str">
        <x:v>海上平台电气设备采购项目 · 报价单（Mock）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7" t="str">
        <x:v>项目编号 BV-2026-018</x:v>
      </x:c>
      <x:c r="B3" s="7"/>
      <x:c r="C3" s="7" t="str">
        <x:v>版本 V3.2</x:v>
      </x:c>
      <x:c r="D3" s="7"/>
      <x:c r="E3" s="7" t="str">
        <x:v>编辑说明</x:v>
      </x:c>
      <x:c r="F3" s="7"/>
      <x:c r="G3" s="7"/>
      <x:c r="H3" s="7" t="str">
        <x:v>绿色列为可编辑报价</x:v>
      </x:c>
      <x:c r="I3" s="7"/>
      <x:c r="J3" s="7"/>
    </x:row>
    <x:row r="4" ht="36" customHeight="1">
      <x:c r="A4" s="13" t="str">
        <x:v>物料编码</x:v>
      </x:c>
      <x:c r="B4" s="13" t="str">
        <x:v>物料名称</x:v>
      </x:c>
      <x:c r="C4" s="13" t="str">
        <x:v>规格型号</x:v>
      </x:c>
      <x:c r="D4" s="13" t="str">
        <x:v>数量</x:v>
      </x:c>
      <x:c r="E4" s="13" t="str">
        <x:v>单位</x:v>
      </x:c>
      <x:c r="F4" s="13" t="str">
        <x:v>招标限价（元）</x:v>
      </x:c>
      <x:c r="G4" s="13" t="str">
        <x:v>历史中标价（元）</x:v>
      </x:c>
      <x:c r="H4" s="13" t="str">
        <x:v>AI建议单价（元）</x:v>
      </x:c>
      <x:c r="I4" s="13" t="str">
        <x:v>用户报价（元）</x:v>
      </x:c>
      <x:c r="J4" s="13" t="str">
        <x:v>合价（元）</x:v>
      </x:c>
    </x:row>
    <x:row r="5" ht="25" customHeight="1">
      <x:c r="A5" s="16" t="str">
        <x:v>10KV-DZ-001</x:v>
      </x:c>
      <x:c r="B5" s="16" t="str">
        <x:v>高压断路器</x:v>
      </x:c>
      <x:c r="C5" s="16" t="str">
        <x:v>ZN63A-12 (1250A)</x:v>
      </x:c>
      <x:c r="D5" s="16" t="n">
        <x:v>3</x:v>
      </x:c>
      <x:c r="E5" s="16" t="str">
        <x:v>台</x:v>
      </x:c>
      <x:c r="F5" s="17" t="n">
        <x:v>15600</x:v>
      </x:c>
      <x:c r="G5" s="17" t="n">
        <x:v>14850</x:v>
      </x:c>
      <x:c r="H5" s="17" t="n">
        <x:v>14680</x:v>
      </x:c>
      <x:c r="I5" s="21" t="n">
        <x:v>14600</x:v>
      </x:c>
      <x:c r="J5" s="17" t="n">
        <x:f>D5*I5</x:f>
        <x:v>43800</x:v>
      </x:c>
    </x:row>
    <x:row r="6" ht="25" customHeight="1">
      <x:c r="A6" s="16" t="str">
        <x:v>10KV-DZ-002</x:v>
      </x:c>
      <x:c r="B6" s="16" t="str">
        <x:v>隔离开关</x:v>
      </x:c>
      <x:c r="C6" s="16" t="str">
        <x:v>GN19-12</x:v>
      </x:c>
      <x:c r="D6" s="16" t="n">
        <x:v>6</x:v>
      </x:c>
      <x:c r="E6" s="16" t="str">
        <x:v>台</x:v>
      </x:c>
      <x:c r="F6" s="17" t="n">
        <x:v>2480</x:v>
      </x:c>
      <x:c r="G6" s="17" t="n">
        <x:v>2180</x:v>
      </x:c>
      <x:c r="H6" s="17" t="n">
        <x:v>2120</x:v>
      </x:c>
      <x:c r="I6" s="21" t="n">
        <x:v>2100</x:v>
      </x:c>
      <x:c r="J6" s="17" t="n">
        <x:f>D6*I6</x:f>
        <x:v>12600</x:v>
      </x:c>
    </x:row>
    <x:row r="7" ht="25" customHeight="1">
      <x:c r="A7" s="16" t="str">
        <x:v>10KV-DZ-003</x:v>
      </x:c>
      <x:c r="B7" s="16" t="str">
        <x:v>电流互感器</x:v>
      </x:c>
      <x:c r="C7" s="16" t="str">
        <x:v>LZZBJ9-12 (150/5)</x:v>
      </x:c>
      <x:c r="D7" s="16" t="n">
        <x:v>9</x:v>
      </x:c>
      <x:c r="E7" s="16" t="str">
        <x:v>台</x:v>
      </x:c>
      <x:c r="F7" s="17" t="n">
        <x:v>860</x:v>
      </x:c>
      <x:c r="G7" s="17" t="n">
        <x:v>780</x:v>
      </x:c>
      <x:c r="H7" s="17" t="n">
        <x:v>760</x:v>
      </x:c>
      <x:c r="I7" s="21" t="n">
        <x:v>750</x:v>
      </x:c>
      <x:c r="J7" s="17" t="n">
        <x:f>D7*I7</x:f>
        <x:v>6750</x:v>
      </x:c>
    </x:row>
    <x:row r="8" ht="25" customHeight="1">
      <x:c r="A8" s="16" t="str">
        <x:v>10KV-DZ-004</x:v>
      </x:c>
      <x:c r="B8" s="16" t="str">
        <x:v>电压互感器</x:v>
      </x:c>
      <x:c r="C8" s="16" t="str">
        <x:v>JDZJ-10</x:v>
      </x:c>
      <x:c r="D8" s="16" t="n">
        <x:v>9</x:v>
      </x:c>
      <x:c r="E8" s="16" t="str">
        <x:v>台</x:v>
      </x:c>
      <x:c r="F8" s="17" t="n">
        <x:v>520</x:v>
      </x:c>
      <x:c r="G8" s="17" t="n">
        <x:v>470</x:v>
      </x:c>
      <x:c r="H8" s="17" t="n">
        <x:v>460</x:v>
      </x:c>
      <x:c r="I8" s="21" t="n">
        <x:v>450</x:v>
      </x:c>
      <x:c r="J8" s="17" t="n">
        <x:f>D8*I8</x:f>
        <x:v>4050</x:v>
      </x:c>
    </x:row>
    <x:row r="9" ht="25" customHeight="1">
      <x:c r="A9" s="16" t="str">
        <x:v>10KV-DZ-005</x:v>
      </x:c>
      <x:c r="B9" s="16" t="str">
        <x:v>避雷器</x:v>
      </x:c>
      <x:c r="C9" s="16" t="str">
        <x:v>HY5WS-17/50</x:v>
      </x:c>
      <x:c r="D9" s="16" t="n">
        <x:v>6</x:v>
      </x:c>
      <x:c r="E9" s="16" t="str">
        <x:v>组</x:v>
      </x:c>
      <x:c r="F9" s="17" t="n">
        <x:v>320</x:v>
      </x:c>
      <x:c r="G9" s="17" t="n">
        <x:v>290</x:v>
      </x:c>
      <x:c r="H9" s="17" t="n">
        <x:v>280</x:v>
      </x:c>
      <x:c r="I9" s="21" t="n">
        <x:v>280</x:v>
      </x:c>
      <x:c r="J9" s="17" t="n">
        <x:f>D9*I9</x:f>
        <x:v>1680</x:v>
      </x:c>
    </x:row>
    <x:row r="10" ht="25" customHeight="1">
      <x:c r="A10" s="16" t="str">
        <x:v>10KV-DZ-006</x:v>
      </x:c>
      <x:c r="B10" s="16" t="str">
        <x:v>开关柜</x:v>
      </x:c>
      <x:c r="C10" s="16" t="str">
        <x:v>KYN28A-12</x:v>
      </x:c>
      <x:c r="D10" s="16" t="n">
        <x:v>4</x:v>
      </x:c>
      <x:c r="E10" s="16" t="str">
        <x:v>面</x:v>
      </x:c>
      <x:c r="F10" s="17" t="n">
        <x:v>32000</x:v>
      </x:c>
      <x:c r="G10" s="17" t="n">
        <x:v>30800</x:v>
      </x:c>
      <x:c r="H10" s="17" t="n">
        <x:v>30200</x:v>
      </x:c>
      <x:c r="I10" s="21" t="n">
        <x:v>30000</x:v>
      </x:c>
      <x:c r="J10" s="17" t="n">
        <x:f>D10*I10</x:f>
        <x:v>120000</x:v>
      </x:c>
    </x:row>
    <x:row r="11" ht="25" customHeight="1">
      <x:c r="A11" s="16" t="str">
        <x:v>10KV-DZ-007</x:v>
      </x:c>
      <x:c r="B11" s="16" t="str">
        <x:v>变压器</x:v>
      </x:c>
      <x:c r="C11" s="16" t="str">
        <x:v>SCB11-1600/10</x:v>
      </x:c>
      <x:c r="D11" s="16" t="n">
        <x:v>2</x:v>
      </x:c>
      <x:c r="E11" s="16" t="str">
        <x:v>台</x:v>
      </x:c>
      <x:c r="F11" s="17" t="n">
        <x:v>63000</x:v>
      </x:c>
      <x:c r="G11" s="17" t="n">
        <x:v>60500</x:v>
      </x:c>
      <x:c r="H11" s="17" t="n">
        <x:v>59200</x:v>
      </x:c>
      <x:c r="I11" s="21" t="n">
        <x:v>58800</x:v>
      </x:c>
      <x:c r="J11" s="17" t="n">
        <x:f>D11*I11</x:f>
        <x:v>117600</x:v>
      </x:c>
    </x:row>
    <x:row r="12" ht="25" customHeight="1">
      <x:c r="A12" s="16" t="str">
        <x:v>10KV-DZ-008</x:v>
      </x:c>
      <x:c r="B12" s="16" t="str">
        <x:v>电缆（交联）</x:v>
      </x:c>
      <x:c r="C12" s="16" t="str">
        <x:v>YJV22-3×240</x:v>
      </x:c>
      <x:c r="D12" s="16" t="n">
        <x:v>120</x:v>
      </x:c>
      <x:c r="E12" s="16" t="str">
        <x:v>米</x:v>
      </x:c>
      <x:c r="F12" s="17" t="n">
        <x:v>280</x:v>
      </x:c>
      <x:c r="G12" s="17" t="n">
        <x:v>250</x:v>
      </x:c>
      <x:c r="H12" s="17" t="n">
        <x:v>240</x:v>
      </x:c>
      <x:c r="I12" s="21" t="n">
        <x:v>245</x:v>
      </x:c>
      <x:c r="J12" s="17" t="n">
        <x:f>D12*I12</x:f>
        <x:v>29400</x:v>
      </x:c>
    </x:row>
    <x:row r="13" ht="25" customHeight="1">
      <x:c r="A13" s="16" t="str">
        <x:v>10KV-DZ-009</x:v>
      </x:c>
      <x:c r="B13" s="16" t="str">
        <x:v>电缆（交联）</x:v>
      </x:c>
      <x:c r="C13" s="16" t="str">
        <x:v>YJV22-3×120</x:v>
      </x:c>
      <x:c r="D13" s="16" t="n">
        <x:v>180</x:v>
      </x:c>
      <x:c r="E13" s="16" t="str">
        <x:v>米</x:v>
      </x:c>
      <x:c r="F13" s="17" t="n">
        <x:v>160</x:v>
      </x:c>
      <x:c r="G13" s="17" t="n">
        <x:v>140</x:v>
      </x:c>
      <x:c r="H13" s="17" t="n">
        <x:v>135</x:v>
      </x:c>
      <x:c r="I13" s="21" t="n">
        <x:v>138</x:v>
      </x:c>
      <x:c r="J13" s="17" t="n">
        <x:f>D13*I13</x:f>
        <x:v>24840</x:v>
      </x:c>
    </x:row>
    <x:row r="14" ht="25" customHeight="1">
      <x:c r="A14" s="16" t="str">
        <x:v>10KV-DZ-010</x:v>
      </x:c>
      <x:c r="B14" s="16" t="str">
        <x:v>接地开关</x:v>
      </x:c>
      <x:c r="C14" s="16" t="str">
        <x:v>JN15-12/31.5</x:v>
      </x:c>
      <x:c r="D14" s="16" t="n">
        <x:v>6</x:v>
      </x:c>
      <x:c r="E14" s="16" t="str">
        <x:v>台</x:v>
      </x:c>
      <x:c r="F14" s="17" t="n">
        <x:v>1250</x:v>
      </x:c>
      <x:c r="G14" s="17" t="n">
        <x:v>1080</x:v>
      </x:c>
      <x:c r="H14" s="17" t="n">
        <x:v>1050</x:v>
      </x:c>
      <x:c r="I14" s="21" t="n">
        <x:v>1030</x:v>
      </x:c>
      <x:c r="J14" s="17" t="n">
        <x:f>D14*I14</x:f>
        <x:v>6180</x:v>
      </x:c>
    </x:row>
    <x:row r="15" ht="25" customHeight="1">
      <x:c r="A15" s="16" t="str">
        <x:v>10KV-DZ-011</x:v>
      </x:c>
      <x:c r="B15" s="16" t="str">
        <x:v>控制箱</x:v>
      </x:c>
      <x:c r="C15" s="16" t="str">
        <x:v>GGD</x:v>
      </x:c>
      <x:c r="D15" s="16" t="n">
        <x:v>6</x:v>
      </x:c>
      <x:c r="E15" s="16" t="str">
        <x:v>台</x:v>
      </x:c>
      <x:c r="F15" s="17" t="n">
        <x:v>3800</x:v>
      </x:c>
      <x:c r="G15" s="17" t="n">
        <x:v>3500</x:v>
      </x:c>
      <x:c r="H15" s="17" t="n">
        <x:v>3420</x:v>
      </x:c>
      <x:c r="I15" s="21" t="n">
        <x:v>3400</x:v>
      </x:c>
      <x:c r="J15" s="17" t="n">
        <x:f>D15*I15</x:f>
        <x:v>20400</x:v>
      </x:c>
    </x:row>
    <x:row r="16" ht="25" customHeight="1">
      <x:c r="A16" s="16" t="str">
        <x:v>10KV-DZ-012</x:v>
      </x:c>
      <x:c r="B16" s="16" t="str">
        <x:v>直流屏</x:v>
      </x:c>
      <x:c r="C16" s="16" t="str">
        <x:v>GZDW-220V</x:v>
      </x:c>
      <x:c r="D16" s="16" t="n">
        <x:v>2</x:v>
      </x:c>
      <x:c r="E16" s="16" t="str">
        <x:v>套</x:v>
      </x:c>
      <x:c r="F16" s="17" t="n">
        <x:v>18000</x:v>
      </x:c>
      <x:c r="G16" s="17" t="n">
        <x:v>17200</x:v>
      </x:c>
      <x:c r="H16" s="17" t="n">
        <x:v>16800</x:v>
      </x:c>
      <x:c r="I16" s="21" t="n">
        <x:v>16700</x:v>
      </x:c>
      <x:c r="J16" s="17" t="n">
        <x:f>D16*I16</x:f>
        <x:v>33400</x:v>
      </x:c>
    </x:row>
    <x:row r="17" ht="25" customHeight="1">
      <x:c r="A17" s="28" t="str">
        <x:v>报价合计（元）</x:v>
      </x:c>
      <x:c r="B17" s="28"/>
      <x:c r="C17" s="28"/>
      <x:c r="D17" s="28"/>
      <x:c r="E17" s="28"/>
      <x:c r="F17" s="29"/>
      <x:c r="G17" s="29"/>
      <x:c r="H17" s="29"/>
      <x:c r="I17" s="29" t="str">
        <x:v>总计</x:v>
      </x:c>
      <x:c r="J17" s="29" t="n">
        <x:f>SUM(J5:J16)</x:f>
        <x:v>420700</x:v>
      </x:c>
    </x:row>
  </x:sheetData>
  <x:mergeCells>
    <x:mergeCell ref="A1:J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</x:cols>
  <x:sheetData>
    <x:row r="1">
      <x:c r="A1" s="4" t="str">
        <x:v>报价汇总</x:v>
      </x:c>
      <x:c r="B1" s="4"/>
    </x:row>
    <x:row r="2">
      <x:c r="A2" s="4"/>
      <x:c r="B2" s="4"/>
    </x:row>
    <x:row r="4">
      <x:c r="A4" s="32" t="str">
        <x:v>指标</x:v>
      </x:c>
      <x:c r="B4" s="32" t="str">
        <x:v>金额 / 比率</x:v>
      </x:c>
    </x:row>
    <x:row r="5">
      <x:c r="A5" s="34" t="str">
        <x:v>当前报价总价（元）</x:v>
      </x:c>
      <x:c r="B5" s="35" t="n">
        <x:f>'报价明细表'!J17</x:f>
        <x:v>420700</x:v>
      </x:c>
    </x:row>
    <x:row r="6">
      <x:c r="A6" s="34" t="str">
        <x:v>招标限价合计（元）</x:v>
      </x:c>
      <x:c r="B6" s="35" t="n">
        <x:f>SUM('报价明细表'!F5:F16*'报价明细表'!D5:D16)</x:f>
        <x:v>458720</x:v>
      </x:c>
    </x:row>
    <x:row r="7">
      <x:c r="A7" s="34" t="str">
        <x:v>限价节余（元）</x:v>
      </x:c>
      <x:c r="B7" s="35" t="n">
        <x:f>B6-B5</x:f>
        <x:v>38020</x:v>
      </x:c>
    </x:row>
    <x:row r="8">
      <x:c r="A8" s="34" t="str">
        <x:v>限价节余率</x:v>
      </x:c>
      <x:c r="B8" s="36" t="n">
        <x:f>IF(B6=0,0,B7/B6)</x:f>
        <x:v>0.08288280432507848</x:v>
      </x:c>
    </x:row>
  </x:sheetData>
  <x:mergeCells>
    <x:mergeCell ref="A1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2" t="str">
        <x:v>费用项目</x:v>
      </x:c>
      <x:c r="B1" s="32" t="str">
        <x:v>取值基数（元）</x:v>
      </x:c>
      <x:c r="C1" s="32" t="str">
        <x:v>费率</x:v>
      </x:c>
      <x:c r="D1" s="32" t="str">
        <x:v>费用（元）</x:v>
      </x:c>
    </x:row>
    <x:row r="2">
      <x:c r="A2" s="30" t="str">
        <x:v>运输与保险</x:v>
      </x:c>
      <x:c r="B2" s="35" t="n">
        <x:f>'汇总表'!B5</x:f>
        <x:v>420700</x:v>
      </x:c>
      <x:c r="C2" s="36" t="n">
        <x:v>0.012</x:v>
      </x:c>
      <x:c r="D2" s="35" t="n">
        <x:f>B2*C2</x:f>
        <x:v>5048.400000000001</x:v>
      </x:c>
    </x:row>
    <x:row r="3">
      <x:c r="A3" s="30" t="str">
        <x:v>现场服务</x:v>
      </x:c>
      <x:c r="B3" s="35" t="n">
        <x:f>'汇总表'!B5</x:f>
        <x:v>420700</x:v>
      </x:c>
      <x:c r="C3" s="36" t="n">
        <x:v>0.008</x:v>
      </x:c>
      <x:c r="D3" s="35" t="n">
        <x:f>B3*C3</x:f>
        <x:v>3365.6</x:v>
      </x:c>
    </x:row>
    <x:row r="4">
      <x:c r="A4" s="30" t="str">
        <x:v>风险准备金</x:v>
      </x:c>
      <x:c r="B4" s="35" t="n">
        <x:f>'汇总表'!B5</x:f>
        <x:v>420700</x:v>
      </x:c>
      <x:c r="C4" s="36" t="n">
        <x:v>0.015</x:v>
      </x:c>
      <x:c r="D4" s="35" t="n">
        <x:f>B4*C4</x:f>
        <x:v>6310.5</x:v>
      </x:c>
    </x:row>
    <x:row r="5">
      <x:c r="A5" s="30" t="str">
        <x:v>费用合计</x:v>
      </x:c>
      <x:c r="B5" s="35"/>
      <x:c r="C5" s="30"/>
      <x:c r="D5" s="35" t="n">
        <x:f>SUM(D2:D4)</x:f>
        <x:v>14724.5</x:v>
      </x:c>
    </x:row>
  </x:sheetData>
  <x:mergeCells>
    <x:mergeCell ref="A5:C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2" t="str">
        <x:v>物料编码</x:v>
      </x:c>
      <x:c r="B1" s="32" t="str">
        <x:v>物料名称</x:v>
      </x:c>
      <x:c r="C1" s="32" t="str">
        <x:v>历史中标价</x:v>
      </x:c>
      <x:c r="D1" s="32" t="str">
        <x:v>AI建议单价</x:v>
      </x:c>
      <x:c r="E1" s="32" t="str">
        <x:v>用户报价</x:v>
      </x:c>
      <x:c r="F1" s="32" t="str">
        <x:v>用户报价偏差</x:v>
      </x:c>
    </x:row>
    <x:row r="2">
      <x:c r="A2" s="30" t="str">
        <x:f>'报价明细表'!A5</x:f>
        <x:v>10KV-DZ-001</x:v>
      </x:c>
      <x:c r="B2" s="30" t="str">
        <x:f>'报价明细表'!B5</x:f>
        <x:v>高压断路器</x:v>
      </x:c>
      <x:c r="C2" s="35" t="n">
        <x:f>'报价明细表'!G5</x:f>
        <x:v>14850</x:v>
      </x:c>
      <x:c r="D2" s="35" t="n">
        <x:f>'报价明细表'!H5</x:f>
        <x:v>14680</x:v>
      </x:c>
      <x:c r="E2" s="35" t="n">
        <x:f>'报价明细表'!I5</x:f>
        <x:v>14600</x:v>
      </x:c>
      <x:c r="F2" s="36" t="n">
        <x:f>IF(D2=0,0,(E2-D2)/D2)</x:f>
        <x:v>-0.005449591280653951</x:v>
      </x:c>
    </x:row>
    <x:row r="3">
      <x:c r="A3" s="30" t="str">
        <x:f>'报价明细表'!A6</x:f>
        <x:v>10KV-DZ-002</x:v>
      </x:c>
      <x:c r="B3" s="30" t="str">
        <x:f>'报价明细表'!B6</x:f>
        <x:v>隔离开关</x:v>
      </x:c>
      <x:c r="C3" s="35" t="n">
        <x:f>'报价明细表'!G6</x:f>
        <x:v>2180</x:v>
      </x:c>
      <x:c r="D3" s="35" t="n">
        <x:f>'报价明细表'!H6</x:f>
        <x:v>2120</x:v>
      </x:c>
      <x:c r="E3" s="35" t="n">
        <x:f>'报价明细表'!I6</x:f>
        <x:v>2100</x:v>
      </x:c>
      <x:c r="F3" s="36" t="n">
        <x:f>IF(D3=0,0,(E3-D3)/D3)</x:f>
        <x:v>-0.009433962264150943</x:v>
      </x:c>
    </x:row>
    <x:row r="4">
      <x:c r="A4" s="30" t="str">
        <x:f>'报价明细表'!A7</x:f>
        <x:v>10KV-DZ-003</x:v>
      </x:c>
      <x:c r="B4" s="30" t="str">
        <x:f>'报价明细表'!B7</x:f>
        <x:v>电流互感器</x:v>
      </x:c>
      <x:c r="C4" s="35" t="n">
        <x:f>'报价明细表'!G7</x:f>
        <x:v>780</x:v>
      </x:c>
      <x:c r="D4" s="35" t="n">
        <x:f>'报价明细表'!H7</x:f>
        <x:v>760</x:v>
      </x:c>
      <x:c r="E4" s="35" t="n">
        <x:f>'报价明细表'!I7</x:f>
        <x:v>750</x:v>
      </x:c>
      <x:c r="F4" s="36" t="n">
        <x:f>IF(D4=0,0,(E4-D4)/D4)</x:f>
        <x:v>-0.013157894736842105</x:v>
      </x:c>
    </x:row>
    <x:row r="5">
      <x:c r="A5" s="30" t="str">
        <x:f>'报价明细表'!A8</x:f>
        <x:v>10KV-DZ-004</x:v>
      </x:c>
      <x:c r="B5" s="30" t="str">
        <x:f>'报价明细表'!B8</x:f>
        <x:v>电压互感器</x:v>
      </x:c>
      <x:c r="C5" s="35" t="n">
        <x:f>'报价明细表'!G8</x:f>
        <x:v>470</x:v>
      </x:c>
      <x:c r="D5" s="35" t="n">
        <x:f>'报价明细表'!H8</x:f>
        <x:v>460</x:v>
      </x:c>
      <x:c r="E5" s="35" t="n">
        <x:f>'报价明细表'!I8</x:f>
        <x:v>450</x:v>
      </x:c>
      <x:c r="F5" s="36" t="n">
        <x:f>IF(D5=0,0,(E5-D5)/D5)</x:f>
        <x:v>-0.021739130434782608</x:v>
      </x:c>
    </x:row>
    <x:row r="6">
      <x:c r="A6" s="30" t="str">
        <x:f>'报价明细表'!A9</x:f>
        <x:v>10KV-DZ-005</x:v>
      </x:c>
      <x:c r="B6" s="30" t="str">
        <x:f>'报价明细表'!B9</x:f>
        <x:v>避雷器</x:v>
      </x:c>
      <x:c r="C6" s="35" t="n">
        <x:f>'报价明细表'!G9</x:f>
        <x:v>290</x:v>
      </x:c>
      <x:c r="D6" s="35" t="n">
        <x:f>'报价明细表'!H9</x:f>
        <x:v>280</x:v>
      </x:c>
      <x:c r="E6" s="35" t="n">
        <x:f>'报价明细表'!I9</x:f>
        <x:v>280</x:v>
      </x:c>
      <x:c r="F6" s="36" t="n">
        <x:f>IF(D6=0,0,(E6-D6)/D6)</x:f>
        <x:v>0</x:v>
      </x:c>
    </x:row>
    <x:row r="7">
      <x:c r="A7" s="30" t="str">
        <x:f>'报价明细表'!A10</x:f>
        <x:v>10KV-DZ-006</x:v>
      </x:c>
      <x:c r="B7" s="30" t="str">
        <x:f>'报价明细表'!B10</x:f>
        <x:v>开关柜</x:v>
      </x:c>
      <x:c r="C7" s="35" t="n">
        <x:f>'报价明细表'!G10</x:f>
        <x:v>30800</x:v>
      </x:c>
      <x:c r="D7" s="35" t="n">
        <x:f>'报价明细表'!H10</x:f>
        <x:v>30200</x:v>
      </x:c>
      <x:c r="E7" s="35" t="n">
        <x:f>'报价明细表'!I10</x:f>
        <x:v>30000</x:v>
      </x:c>
      <x:c r="F7" s="36" t="n">
        <x:f>IF(D7=0,0,(E7-D7)/D7)</x:f>
        <x:v>-0.006622516556291391</x:v>
      </x:c>
    </x:row>
    <x:row r="8">
      <x:c r="A8" s="30" t="str">
        <x:f>'报价明细表'!A11</x:f>
        <x:v>10KV-DZ-007</x:v>
      </x:c>
      <x:c r="B8" s="30" t="str">
        <x:f>'报价明细表'!B11</x:f>
        <x:v>变压器</x:v>
      </x:c>
      <x:c r="C8" s="35" t="n">
        <x:f>'报价明细表'!G11</x:f>
        <x:v>60500</x:v>
      </x:c>
      <x:c r="D8" s="35" t="n">
        <x:f>'报价明细表'!H11</x:f>
        <x:v>59200</x:v>
      </x:c>
      <x:c r="E8" s="35" t="n">
        <x:f>'报价明细表'!I11</x:f>
        <x:v>58800</x:v>
      </x:c>
      <x:c r="F8" s="36" t="n">
        <x:f>IF(D8=0,0,(E8-D8)/D8)</x:f>
        <x:v>-0.006756756756756757</x:v>
      </x:c>
    </x:row>
    <x:row r="9">
      <x:c r="A9" s="30" t="str">
        <x:f>'报价明细表'!A12</x:f>
        <x:v>10KV-DZ-008</x:v>
      </x:c>
      <x:c r="B9" s="30" t="str">
        <x:f>'报价明细表'!B12</x:f>
        <x:v>电缆（交联）</x:v>
      </x:c>
      <x:c r="C9" s="35" t="n">
        <x:f>'报价明细表'!G12</x:f>
        <x:v>250</x:v>
      </x:c>
      <x:c r="D9" s="35" t="n">
        <x:f>'报价明细表'!H12</x:f>
        <x:v>240</x:v>
      </x:c>
      <x:c r="E9" s="35" t="n">
        <x:f>'报价明细表'!I12</x:f>
        <x:v>245</x:v>
      </x:c>
      <x:c r="F9" s="36" t="n">
        <x:f>IF(D9=0,0,(E9-D9)/D9)</x:f>
        <x:v>0.020833333333333332</x:v>
      </x:c>
    </x:row>
    <x:row r="10">
      <x:c r="A10" s="30" t="str">
        <x:f>'报价明细表'!A13</x:f>
        <x:v>10KV-DZ-009</x:v>
      </x:c>
      <x:c r="B10" s="30" t="str">
        <x:f>'报价明细表'!B13</x:f>
        <x:v>电缆（交联）</x:v>
      </x:c>
      <x:c r="C10" s="35" t="n">
        <x:f>'报价明细表'!G13</x:f>
        <x:v>140</x:v>
      </x:c>
      <x:c r="D10" s="35" t="n">
        <x:f>'报价明细表'!H13</x:f>
        <x:v>135</x:v>
      </x:c>
      <x:c r="E10" s="35" t="n">
        <x:f>'报价明细表'!I13</x:f>
        <x:v>138</x:v>
      </x:c>
      <x:c r="F10" s="36" t="n">
        <x:f>IF(D10=0,0,(E10-D10)/D10)</x:f>
        <x:v>0.022222222222222223</x:v>
      </x:c>
    </x:row>
    <x:row r="11">
      <x:c r="A11" s="30" t="str">
        <x:f>'报价明细表'!A14</x:f>
        <x:v>10KV-DZ-010</x:v>
      </x:c>
      <x:c r="B11" s="30" t="str">
        <x:f>'报价明细表'!B14</x:f>
        <x:v>接地开关</x:v>
      </x:c>
      <x:c r="C11" s="35" t="n">
        <x:f>'报价明细表'!G14</x:f>
        <x:v>1080</x:v>
      </x:c>
      <x:c r="D11" s="35" t="n">
        <x:f>'报价明细表'!H14</x:f>
        <x:v>1050</x:v>
      </x:c>
      <x:c r="E11" s="35" t="n">
        <x:f>'报价明细表'!I14</x:f>
        <x:v>1030</x:v>
      </x:c>
      <x:c r="F11" s="36" t="n">
        <x:f>IF(D11=0,0,(E11-D11)/D11)</x:f>
        <x:v>-0.01904761904761905</x:v>
      </x:c>
    </x:row>
    <x:row r="12">
      <x:c r="A12" s="30" t="str">
        <x:f>'报价明细表'!A15</x:f>
        <x:v>10KV-DZ-011</x:v>
      </x:c>
      <x:c r="B12" s="30" t="str">
        <x:f>'报价明细表'!B15</x:f>
        <x:v>控制箱</x:v>
      </x:c>
      <x:c r="C12" s="35" t="n">
        <x:f>'报价明细表'!G15</x:f>
        <x:v>3500</x:v>
      </x:c>
      <x:c r="D12" s="35" t="n">
        <x:f>'报价明细表'!H15</x:f>
        <x:v>3420</x:v>
      </x:c>
      <x:c r="E12" s="35" t="n">
        <x:f>'报价明细表'!I15</x:f>
        <x:v>3400</x:v>
      </x:c>
      <x:c r="F12" s="36" t="n">
        <x:f>IF(D12=0,0,(E12-D12)/D12)</x:f>
        <x:v>-0.005847953216374269</x:v>
      </x:c>
    </x:row>
    <x:row r="13">
      <x:c r="A13" s="30" t="str">
        <x:f>'报价明细表'!A16</x:f>
        <x:v>10KV-DZ-012</x:v>
      </x:c>
      <x:c r="B13" s="30" t="str">
        <x:f>'报价明细表'!B16</x:f>
        <x:v>直流屏</x:v>
      </x:c>
      <x:c r="C13" s="35" t="n">
        <x:f>'报价明细表'!G16</x:f>
        <x:v>17200</x:v>
      </x:c>
      <x:c r="D13" s="35" t="n">
        <x:f>'报价明细表'!H16</x:f>
        <x:v>16800</x:v>
      </x:c>
      <x:c r="E13" s="35" t="n">
        <x:f>'报价明细表'!I16</x:f>
        <x:v>16700</x:v>
      </x:c>
      <x:c r="F13" s="36" t="n">
        <x:f>IF(D13=0,0,(E13-D13)/D13)</x:f>
        <x:v>-0.005952380952380952</x:v>
      </x:c>
    </x:row>
  </x:sheetData>
  <x:pageMargins left="0.7" right="0.7" top="0.75" bottom="0.75" header="0.3" footer="0.3"/>
</x:worksheet>
</file>